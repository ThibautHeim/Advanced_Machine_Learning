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baut/Documents/DTU/Advanced ML/Advanced_ML_GitHub/Assignments/"/>
    </mc:Choice>
  </mc:AlternateContent>
  <xr:revisionPtr revIDLastSave="0" documentId="13_ncr:1_{13ABD32F-9E92-1740-8FC1-271C41326F02}" xr6:coauthVersionLast="47" xr6:coauthVersionMax="47" xr10:uidLastSave="{00000000-0000-0000-0000-000000000000}"/>
  <bookViews>
    <workbookView xWindow="60" yWindow="760" windowWidth="26740" windowHeight="15160" xr2:uid="{2A1B1279-A485-004F-A728-48BBE980049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" i="1"/>
  <c r="K3" i="1" s="1"/>
  <c r="K4" i="1"/>
  <c r="K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A4" i="1"/>
  <c r="A5" i="1" s="1"/>
  <c r="A6" i="1" s="1"/>
  <c r="A7" i="1" s="1"/>
  <c r="A8" i="1" l="1"/>
  <c r="A9" i="1" l="1"/>
  <c r="A10" i="1" l="1"/>
  <c r="A11" i="1" l="1"/>
  <c r="A12" i="1" l="1"/>
  <c r="A13" i="1" l="1"/>
  <c r="A14" i="1" l="1"/>
  <c r="A15" i="1" l="1"/>
</calcChain>
</file>

<file path=xl/sharedStrings.xml><?xml version="1.0" encoding="utf-8"?>
<sst xmlns="http://schemas.openxmlformats.org/spreadsheetml/2006/main" count="54" uniqueCount="20">
  <si>
    <t>SCHEDULE ADLCV WEEK 2</t>
  </si>
  <si>
    <t>ID</t>
  </si>
  <si>
    <t>EPOCHS</t>
  </si>
  <si>
    <t>NAME</t>
  </si>
  <si>
    <t>Command</t>
  </si>
  <si>
    <t>Lat-dim</t>
  </si>
  <si>
    <t>mode</t>
  </si>
  <si>
    <t>train</t>
  </si>
  <si>
    <t>device</t>
  </si>
  <si>
    <t>batch-size</t>
  </si>
  <si>
    <t>prior</t>
  </si>
  <si>
    <t>mps</t>
  </si>
  <si>
    <t>Standard</t>
  </si>
  <si>
    <t>Path</t>
  </si>
  <si>
    <t>Advanced_ML_GitHub/Exercises/Week_2/vae_bernoulli_flow.py</t>
  </si>
  <si>
    <t>GM</t>
  </si>
  <si>
    <t>Flow</t>
  </si>
  <si>
    <t>python3 Advanced_ML_GitHub/Exercises/Week_2/vae_bernoulli_flow.py</t>
  </si>
  <si>
    <t>ELBO Loss</t>
  </si>
  <si>
    <t>Test 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</si>
</sst>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8" xfId="0" applyFill="1" applyBorder="1"/>
    <xf numFmtId="0" fontId="3" fillId="2" borderId="2" xfId="0" applyFont="1" applyFill="1" applyBorder="1"/>
    <xf numFmtId="0" fontId="3" fillId="2" borderId="7" xfId="0" applyFont="1" applyFill="1" applyBorder="1"/>
    <xf numFmtId="0" fontId="3" fillId="0" borderId="0" xfId="0" applyFont="1"/>
    <xf numFmtId="0" fontId="3" fillId="0" borderId="6" xfId="0" applyFont="1" applyBorder="1"/>
    <xf numFmtId="0" fontId="1" fillId="0" borderId="0" xfId="0" applyFont="1"/>
    <xf numFmtId="0" fontId="1" fillId="0" borderId="6" xfId="0" applyFont="1" applyBorder="1" applyAlignment="1">
      <alignment horizontal="center"/>
    </xf>
    <xf numFmtId="0" fontId="3" fillId="2" borderId="8" xfId="0" applyFont="1" applyFill="1" applyBorder="1"/>
    <xf numFmtId="0" fontId="0" fillId="0" borderId="0" xfId="0" applyFill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D1DC-440F-2248-B0DC-747DE2177C21}">
  <dimension ref="A1:N34"/>
  <sheetViews>
    <sheetView tabSelected="1" topLeftCell="D1" zoomScale="118" workbookViewId="0">
      <selection activeCell="J5" sqref="J5"/>
    </sheetView>
  </sheetViews>
  <sheetFormatPr baseColWidth="10" defaultRowHeight="16" x14ac:dyDescent="0.2"/>
  <cols>
    <col min="3" max="3" width="11.33203125" bestFit="1" customWidth="1"/>
    <col min="5" max="5" width="21.5" bestFit="1" customWidth="1"/>
    <col min="8" max="8" width="12.5" bestFit="1" customWidth="1"/>
    <col min="9" max="9" width="13.5" bestFit="1" customWidth="1"/>
    <col min="10" max="10" width="45.33203125" customWidth="1"/>
    <col min="11" max="11" width="174.1640625" bestFit="1" customWidth="1"/>
    <col min="14" max="14" width="53.5" bestFit="1" customWidth="1"/>
  </cols>
  <sheetData>
    <row r="1" spans="1:14" ht="24" x14ac:dyDescent="0.3">
      <c r="A1" s="12" t="s">
        <v>0</v>
      </c>
      <c r="B1" s="12"/>
      <c r="C1" s="12"/>
      <c r="D1" s="12"/>
      <c r="E1" s="12"/>
      <c r="F1" s="11"/>
      <c r="G1" s="11"/>
      <c r="H1" s="11"/>
      <c r="I1" s="11"/>
      <c r="J1" s="11"/>
    </row>
    <row r="2" spans="1:14" x14ac:dyDescent="0.2">
      <c r="A2" s="8" t="s">
        <v>1</v>
      </c>
      <c r="B2" s="13" t="s">
        <v>6</v>
      </c>
      <c r="C2" s="6" t="s">
        <v>8</v>
      </c>
      <c r="D2" s="6" t="s">
        <v>9</v>
      </c>
      <c r="E2" s="6" t="s">
        <v>2</v>
      </c>
      <c r="F2" s="6" t="s">
        <v>5</v>
      </c>
      <c r="G2" s="6" t="s">
        <v>10</v>
      </c>
      <c r="H2" s="7" t="s">
        <v>18</v>
      </c>
      <c r="I2" s="7" t="s">
        <v>19</v>
      </c>
      <c r="J2" s="8" t="s">
        <v>3</v>
      </c>
      <c r="K2" s="15" t="s">
        <v>4</v>
      </c>
      <c r="N2" s="15" t="s">
        <v>13</v>
      </c>
    </row>
    <row r="3" spans="1:14" x14ac:dyDescent="0.2">
      <c r="A3" s="9">
        <v>1</v>
      </c>
      <c r="B3" s="9" t="s">
        <v>7</v>
      </c>
      <c r="C3" s="14" t="s">
        <v>11</v>
      </c>
      <c r="D3" s="14">
        <v>32</v>
      </c>
      <c r="E3" s="14">
        <v>20</v>
      </c>
      <c r="F3" s="14">
        <v>20</v>
      </c>
      <c r="G3" s="14" t="s">
        <v>12</v>
      </c>
      <c r="H3" s="2">
        <v>0.78100000000000003</v>
      </c>
      <c r="I3" s="2">
        <v>0.47799999999999998</v>
      </c>
      <c r="J3" s="1" t="str">
        <f>IF(ISBLANK(A3),"","0"&amp;A3&amp;"_bs"&amp;D3&amp;"_ep"&amp;E3&amp;"_lat-dim"&amp;F3&amp;"_prior"&amp;G3&amp;".pt")</f>
        <v>01_bs32_ep20_lat-dim20_priorStandard.pt</v>
      </c>
      <c r="K3" s="3" t="str">
        <f>IF(ISBLANK(A3),"","python3 "&amp;$N$3&amp;" "&amp; B3&amp;" --device "&amp;C3&amp;" --batch-size "&amp; D3 &amp;" --epochs "&amp;E3&amp;" --latent-dim "&amp;F3&amp;" --prior "&amp;G3&amp;" --model  "&amp;J3)</f>
        <v>python3 Advanced_ML_GitHub/Exercises/Week_2/vae_bernoulli_flow.py train --device mps --batch-size 32 --epochs 20 --latent-dim 20 --prior Standard --model  01_bs32_ep20_lat-dim20_priorStandard.pt</v>
      </c>
      <c r="N3" s="16" t="s">
        <v>14</v>
      </c>
    </row>
    <row r="4" spans="1:14" x14ac:dyDescent="0.2">
      <c r="A4" s="9">
        <f>A3+1</f>
        <v>2</v>
      </c>
      <c r="B4" s="9" t="s">
        <v>7</v>
      </c>
      <c r="C4" s="14" t="s">
        <v>11</v>
      </c>
      <c r="D4" s="14">
        <v>32</v>
      </c>
      <c r="E4" s="14">
        <v>20</v>
      </c>
      <c r="F4" s="14">
        <v>20</v>
      </c>
      <c r="G4" s="14" t="s">
        <v>15</v>
      </c>
      <c r="H4" s="3">
        <v>0.8</v>
      </c>
      <c r="I4" s="3">
        <v>0.42399999999999999</v>
      </c>
      <c r="J4" s="1" t="str">
        <f t="shared" ref="J4:J34" si="0">IF(ISBLANK(A4),"","0"&amp;A4&amp;"_bs"&amp;D4&amp;"_ep"&amp;E4&amp;"_lat-dim"&amp;F4&amp;"_prior"&amp;G4&amp;".pt")</f>
        <v>02_bs32_ep20_lat-dim20_priorGM.pt</v>
      </c>
      <c r="K4" s="3" t="str">
        <f t="shared" ref="K4:K34" si="1">IF(ISBLANK(A4),"","python3 "&amp;$N$3&amp;" "&amp; B4&amp;" --device "&amp;C4&amp;" --batch-size "&amp; D4 &amp;" --epochs "&amp;E4&amp;" --latent-dim "&amp;F4&amp;" --prior "&amp;G4&amp;" --model  "&amp;J4)</f>
        <v>python3 Advanced_ML_GitHub/Exercises/Week_2/vae_bernoulli_flow.py train --device mps --batch-size 32 --epochs 20 --latent-dim 20 --prior GM --model  02_bs32_ep20_lat-dim20_priorGM.pt</v>
      </c>
    </row>
    <row r="5" spans="1:14" x14ac:dyDescent="0.2">
      <c r="A5" s="9">
        <f t="shared" ref="A5:A15" si="2">A4+1</f>
        <v>3</v>
      </c>
      <c r="B5" s="9" t="s">
        <v>7</v>
      </c>
      <c r="C5" s="14" t="s">
        <v>11</v>
      </c>
      <c r="D5" s="14">
        <v>32</v>
      </c>
      <c r="E5" s="14">
        <v>20</v>
      </c>
      <c r="F5" s="14">
        <v>20</v>
      </c>
      <c r="G5" s="14" t="s">
        <v>16</v>
      </c>
      <c r="H5" s="3">
        <v>0.80400000000000005</v>
      </c>
      <c r="I5" s="3">
        <v>0.46200000000000002</v>
      </c>
      <c r="J5" s="1" t="str">
        <f t="shared" si="0"/>
        <v>03_bs32_ep20_lat-dim20_priorFlow.pt</v>
      </c>
      <c r="K5" s="3" t="str">
        <f t="shared" si="1"/>
        <v>python3 Advanced_ML_GitHub/Exercises/Week_2/vae_bernoulli_flow.py train --device mps --batch-size 32 --epochs 20 --latent-dim 20 --prior Flow --model  03_bs32_ep20_lat-dim20_priorFlow.pt</v>
      </c>
    </row>
    <row r="6" spans="1:14" x14ac:dyDescent="0.2">
      <c r="A6" s="9">
        <f t="shared" si="2"/>
        <v>4</v>
      </c>
      <c r="B6" s="9" t="s">
        <v>7</v>
      </c>
      <c r="C6" s="14" t="s">
        <v>11</v>
      </c>
      <c r="D6" s="14">
        <v>32</v>
      </c>
      <c r="E6" s="14">
        <v>20</v>
      </c>
      <c r="F6" s="14">
        <v>20</v>
      </c>
      <c r="G6" s="14" t="s">
        <v>12</v>
      </c>
      <c r="H6" s="3">
        <v>0.79100000000000004</v>
      </c>
      <c r="I6" s="3">
        <v>0.45600000000000002</v>
      </c>
      <c r="J6" s="1" t="str">
        <f t="shared" si="0"/>
        <v>04_bs32_ep20_lat-dim20_priorStandard.pt</v>
      </c>
      <c r="K6" s="3" t="str">
        <f t="shared" si="1"/>
        <v>python3 Advanced_ML_GitHub/Exercises/Week_2/vae_bernoulli_flow.py train --device mps --batch-size 32 --epochs 20 --latent-dim 20 --prior Standard --model  04_bs32_ep20_lat-dim20_priorStandard.pt</v>
      </c>
    </row>
    <row r="7" spans="1:14" x14ac:dyDescent="0.2">
      <c r="A7" s="9">
        <f t="shared" si="2"/>
        <v>5</v>
      </c>
      <c r="B7" s="9" t="s">
        <v>7</v>
      </c>
      <c r="C7" s="14" t="s">
        <v>11</v>
      </c>
      <c r="D7" s="14">
        <v>32</v>
      </c>
      <c r="E7" s="14">
        <v>20</v>
      </c>
      <c r="F7" s="14">
        <v>20</v>
      </c>
      <c r="G7" s="14" t="s">
        <v>16</v>
      </c>
      <c r="H7" s="3">
        <v>0.54200000000000004</v>
      </c>
      <c r="I7" s="3">
        <v>1.0189999999999999</v>
      </c>
      <c r="J7" s="1" t="str">
        <f t="shared" si="0"/>
        <v>05_bs32_ep20_lat-dim20_priorFlow.pt</v>
      </c>
      <c r="K7" s="3" t="str">
        <f t="shared" si="1"/>
        <v>python3 Advanced_ML_GitHub/Exercises/Week_2/vae_bernoulli_flow.py train --device mps --batch-size 32 --epochs 20 --latent-dim 20 --prior Flow --model  05_bs32_ep20_lat-dim20_priorFlow.pt</v>
      </c>
      <c r="N7" t="s">
        <v>17</v>
      </c>
    </row>
    <row r="8" spans="1:14" x14ac:dyDescent="0.2">
      <c r="A8" s="9">
        <f t="shared" si="2"/>
        <v>6</v>
      </c>
      <c r="B8" s="9" t="s">
        <v>7</v>
      </c>
      <c r="C8" s="14" t="s">
        <v>11</v>
      </c>
      <c r="D8" s="14">
        <v>32</v>
      </c>
      <c r="E8" s="14">
        <v>20</v>
      </c>
      <c r="F8" s="14">
        <v>20</v>
      </c>
      <c r="G8" s="14" t="s">
        <v>15</v>
      </c>
      <c r="H8" s="3">
        <v>0.78500000000000003</v>
      </c>
      <c r="I8" s="3">
        <v>0.497</v>
      </c>
      <c r="J8" s="1" t="str">
        <f t="shared" si="0"/>
        <v>06_bs32_ep20_lat-dim20_priorGM.pt</v>
      </c>
      <c r="K8" s="3" t="str">
        <f t="shared" si="1"/>
        <v>python3 Advanced_ML_GitHub/Exercises/Week_2/vae_bernoulli_flow.py train --device mps --batch-size 32 --epochs 20 --latent-dim 20 --prior GM --model  06_bs32_ep20_lat-dim20_priorGM.pt</v>
      </c>
    </row>
    <row r="9" spans="1:14" x14ac:dyDescent="0.2">
      <c r="A9" s="9">
        <f t="shared" si="2"/>
        <v>7</v>
      </c>
      <c r="B9" s="9" t="s">
        <v>7</v>
      </c>
      <c r="C9" s="14" t="s">
        <v>11</v>
      </c>
      <c r="D9" s="14">
        <v>32</v>
      </c>
      <c r="E9" s="14">
        <v>20</v>
      </c>
      <c r="F9" s="14">
        <v>20</v>
      </c>
      <c r="G9" s="14" t="s">
        <v>12</v>
      </c>
      <c r="H9" s="3">
        <v>0.80700000000000005</v>
      </c>
      <c r="I9" s="3">
        <v>0.45200000000000001</v>
      </c>
      <c r="J9" s="1" t="str">
        <f t="shared" si="0"/>
        <v>07_bs32_ep20_lat-dim20_priorStandard.pt</v>
      </c>
      <c r="K9" s="3" t="str">
        <f t="shared" si="1"/>
        <v>python3 Advanced_ML_GitHub/Exercises/Week_2/vae_bernoulli_flow.py train --device mps --batch-size 32 --epochs 20 --latent-dim 20 --prior Standard --model  07_bs32_ep20_lat-dim20_priorStandard.pt</v>
      </c>
    </row>
    <row r="10" spans="1:14" x14ac:dyDescent="0.2">
      <c r="A10" s="9">
        <f t="shared" si="2"/>
        <v>8</v>
      </c>
      <c r="B10" s="9" t="s">
        <v>7</v>
      </c>
      <c r="C10" s="14" t="s">
        <v>11</v>
      </c>
      <c r="D10" s="14">
        <v>32</v>
      </c>
      <c r="E10" s="14">
        <v>20</v>
      </c>
      <c r="F10" s="14">
        <v>20</v>
      </c>
      <c r="G10" s="14" t="s">
        <v>16</v>
      </c>
      <c r="H10" s="3">
        <v>0.80300000000000005</v>
      </c>
      <c r="I10" s="3">
        <v>0.48299999999999998</v>
      </c>
      <c r="J10" s="1" t="str">
        <f t="shared" si="0"/>
        <v>08_bs32_ep20_lat-dim20_priorFlow.pt</v>
      </c>
      <c r="K10" s="3" t="str">
        <f t="shared" si="1"/>
        <v>python3 Advanced_ML_GitHub/Exercises/Week_2/vae_bernoulli_flow.py train --device mps --batch-size 32 --epochs 20 --latent-dim 20 --prior Flow --model  08_bs32_ep20_lat-dim20_priorFlow.pt</v>
      </c>
    </row>
    <row r="11" spans="1:14" x14ac:dyDescent="0.2">
      <c r="A11" s="9">
        <f t="shared" si="2"/>
        <v>9</v>
      </c>
      <c r="B11" s="9" t="s">
        <v>7</v>
      </c>
      <c r="C11" s="14" t="s">
        <v>11</v>
      </c>
      <c r="D11" s="14">
        <v>32</v>
      </c>
      <c r="E11" s="14">
        <v>20</v>
      </c>
      <c r="F11" s="14">
        <v>20</v>
      </c>
      <c r="G11" s="14" t="s">
        <v>15</v>
      </c>
      <c r="H11" s="3">
        <v>0.80200000000000005</v>
      </c>
      <c r="I11" s="3">
        <v>0.45700000000000002</v>
      </c>
      <c r="J11" s="1" t="str">
        <f t="shared" si="0"/>
        <v>09_bs32_ep20_lat-dim20_priorGM.pt</v>
      </c>
      <c r="K11" s="3" t="str">
        <f t="shared" si="1"/>
        <v>python3 Advanced_ML_GitHub/Exercises/Week_2/vae_bernoulli_flow.py train --device mps --batch-size 32 --epochs 20 --latent-dim 20 --prior GM --model  09_bs32_ep20_lat-dim20_priorGM.pt</v>
      </c>
    </row>
    <row r="12" spans="1:14" x14ac:dyDescent="0.2">
      <c r="A12" s="9">
        <f t="shared" si="2"/>
        <v>10</v>
      </c>
      <c r="B12" s="9" t="s">
        <v>7</v>
      </c>
      <c r="C12" s="14" t="s">
        <v>11</v>
      </c>
      <c r="D12" s="14">
        <v>32</v>
      </c>
      <c r="E12" s="14">
        <v>20</v>
      </c>
      <c r="F12" s="14">
        <v>20</v>
      </c>
      <c r="G12" s="14" t="s">
        <v>12</v>
      </c>
      <c r="H12" s="3">
        <v>0.78700000000000003</v>
      </c>
      <c r="I12" s="3">
        <v>0.48</v>
      </c>
      <c r="J12" s="1" t="str">
        <f t="shared" si="0"/>
        <v>010_bs32_ep20_lat-dim20_priorStandard.pt</v>
      </c>
      <c r="K12" s="3" t="str">
        <f t="shared" si="1"/>
        <v>python3 Advanced_ML_GitHub/Exercises/Week_2/vae_bernoulli_flow.py train --device mps --batch-size 32 --epochs 20 --latent-dim 20 --prior Standard --model  010_bs32_ep20_lat-dim20_priorStandard.pt</v>
      </c>
    </row>
    <row r="13" spans="1:14" x14ac:dyDescent="0.2">
      <c r="A13" s="9">
        <f t="shared" si="2"/>
        <v>11</v>
      </c>
      <c r="B13" s="9" t="s">
        <v>7</v>
      </c>
      <c r="C13" s="14" t="s">
        <v>11</v>
      </c>
      <c r="D13" s="14">
        <v>32</v>
      </c>
      <c r="E13" s="14">
        <v>20</v>
      </c>
      <c r="F13" s="14">
        <v>20</v>
      </c>
      <c r="G13" s="14" t="s">
        <v>16</v>
      </c>
      <c r="H13" s="3">
        <v>0.74399999999999999</v>
      </c>
      <c r="I13" s="3">
        <v>0.52100000000000002</v>
      </c>
      <c r="J13" s="1" t="str">
        <f t="shared" si="0"/>
        <v>011_bs32_ep20_lat-dim20_priorFlow.pt</v>
      </c>
      <c r="K13" s="3" t="str">
        <f t="shared" si="1"/>
        <v>python3 Advanced_ML_GitHub/Exercises/Week_2/vae_bernoulli_flow.py train --device mps --batch-size 32 --epochs 20 --latent-dim 20 --prior Flow --model  011_bs32_ep20_lat-dim20_priorFlow.pt</v>
      </c>
    </row>
    <row r="14" spans="1:14" x14ac:dyDescent="0.2">
      <c r="A14" s="9">
        <f t="shared" si="2"/>
        <v>12</v>
      </c>
      <c r="B14" s="9" t="s">
        <v>7</v>
      </c>
      <c r="C14" s="14" t="s">
        <v>11</v>
      </c>
      <c r="D14" s="14">
        <v>32</v>
      </c>
      <c r="E14" s="14">
        <v>20</v>
      </c>
      <c r="F14" s="14">
        <v>20</v>
      </c>
      <c r="G14" s="14" t="s">
        <v>15</v>
      </c>
      <c r="H14" s="3">
        <v>0.80500000000000005</v>
      </c>
      <c r="I14" s="3">
        <v>0.44900000000000001</v>
      </c>
      <c r="J14" s="1" t="str">
        <f t="shared" si="0"/>
        <v>012_bs32_ep20_lat-dim20_priorGM.pt</v>
      </c>
      <c r="K14" s="3" t="str">
        <f t="shared" si="1"/>
        <v>python3 Advanced_ML_GitHub/Exercises/Week_2/vae_bernoulli_flow.py train --device mps --batch-size 32 --epochs 20 --latent-dim 20 --prior GM --model  012_bs32_ep20_lat-dim20_priorGM.pt</v>
      </c>
    </row>
    <row r="15" spans="1:14" x14ac:dyDescent="0.2">
      <c r="A15" s="9">
        <f t="shared" si="2"/>
        <v>13</v>
      </c>
      <c r="B15" s="9" t="s">
        <v>7</v>
      </c>
      <c r="C15" s="14" t="s">
        <v>11</v>
      </c>
      <c r="D15" s="14">
        <v>32</v>
      </c>
      <c r="E15" s="14">
        <v>20</v>
      </c>
      <c r="F15" s="14">
        <v>20</v>
      </c>
      <c r="G15" s="14" t="s">
        <v>12</v>
      </c>
      <c r="H15" s="3">
        <v>0.82899999999999996</v>
      </c>
      <c r="I15" s="3">
        <v>0.40699999999999997</v>
      </c>
      <c r="J15" s="1" t="str">
        <f t="shared" si="0"/>
        <v>013_bs32_ep20_lat-dim20_priorStandard.pt</v>
      </c>
      <c r="K15" s="3" t="str">
        <f t="shared" si="1"/>
        <v>python3 Advanced_ML_GitHub/Exercises/Week_2/vae_bernoulli_flow.py train --device mps --batch-size 32 --epochs 20 --latent-dim 20 --prior Standard --model  013_bs32_ep20_lat-dim20_priorStandard.pt</v>
      </c>
    </row>
    <row r="16" spans="1:14" x14ac:dyDescent="0.2">
      <c r="A16" s="9"/>
      <c r="B16" s="9"/>
      <c r="H16" s="3"/>
      <c r="I16" s="3"/>
      <c r="J16" s="1" t="str">
        <f t="shared" si="0"/>
        <v/>
      </c>
      <c r="K16" s="3" t="str">
        <f t="shared" si="1"/>
        <v/>
      </c>
    </row>
    <row r="17" spans="1:11" x14ac:dyDescent="0.2">
      <c r="A17" s="9"/>
      <c r="B17" s="9"/>
      <c r="H17" s="3"/>
      <c r="I17" s="3"/>
      <c r="J17" s="1" t="str">
        <f t="shared" si="0"/>
        <v/>
      </c>
      <c r="K17" s="3" t="str">
        <f t="shared" si="1"/>
        <v/>
      </c>
    </row>
    <row r="18" spans="1:11" x14ac:dyDescent="0.2">
      <c r="A18" s="9"/>
      <c r="B18" s="9"/>
      <c r="H18" s="3"/>
      <c r="I18" s="3"/>
      <c r="J18" s="1" t="str">
        <f t="shared" si="0"/>
        <v/>
      </c>
      <c r="K18" s="3" t="str">
        <f t="shared" si="1"/>
        <v/>
      </c>
    </row>
    <row r="19" spans="1:11" x14ac:dyDescent="0.2">
      <c r="A19" s="9"/>
      <c r="B19" s="9"/>
      <c r="H19" s="3"/>
      <c r="I19" s="3"/>
      <c r="J19" s="1" t="str">
        <f t="shared" si="0"/>
        <v/>
      </c>
      <c r="K19" s="3" t="str">
        <f t="shared" si="1"/>
        <v/>
      </c>
    </row>
    <row r="20" spans="1:11" x14ac:dyDescent="0.2">
      <c r="A20" s="9"/>
      <c r="B20" s="9"/>
      <c r="H20" s="3"/>
      <c r="I20" s="3"/>
      <c r="J20" s="1" t="str">
        <f t="shared" si="0"/>
        <v/>
      </c>
      <c r="K20" s="3" t="str">
        <f t="shared" si="1"/>
        <v/>
      </c>
    </row>
    <row r="21" spans="1:11" x14ac:dyDescent="0.2">
      <c r="A21" s="9"/>
      <c r="B21" s="9"/>
      <c r="H21" s="3"/>
      <c r="I21" s="3"/>
      <c r="J21" s="1" t="str">
        <f t="shared" si="0"/>
        <v/>
      </c>
      <c r="K21" s="3" t="str">
        <f t="shared" si="1"/>
        <v/>
      </c>
    </row>
    <row r="22" spans="1:11" x14ac:dyDescent="0.2">
      <c r="A22" s="9"/>
      <c r="B22" s="9"/>
      <c r="H22" s="3"/>
      <c r="I22" s="3"/>
      <c r="J22" s="1" t="str">
        <f t="shared" si="0"/>
        <v/>
      </c>
      <c r="K22" s="3" t="str">
        <f t="shared" si="1"/>
        <v/>
      </c>
    </row>
    <row r="23" spans="1:11" x14ac:dyDescent="0.2">
      <c r="A23" s="9"/>
      <c r="B23" s="9"/>
      <c r="H23" s="3"/>
      <c r="I23" s="3"/>
      <c r="J23" s="1" t="str">
        <f t="shared" si="0"/>
        <v/>
      </c>
      <c r="K23" s="3" t="str">
        <f t="shared" si="1"/>
        <v/>
      </c>
    </row>
    <row r="24" spans="1:11" x14ac:dyDescent="0.2">
      <c r="A24" s="9"/>
      <c r="B24" s="9"/>
      <c r="H24" s="3"/>
      <c r="I24" s="3"/>
      <c r="J24" s="1" t="str">
        <f t="shared" si="0"/>
        <v/>
      </c>
      <c r="K24" s="3" t="str">
        <f t="shared" si="1"/>
        <v/>
      </c>
    </row>
    <row r="25" spans="1:11" x14ac:dyDescent="0.2">
      <c r="A25" s="9"/>
      <c r="B25" s="9"/>
      <c r="H25" s="3"/>
      <c r="I25" s="3"/>
      <c r="J25" s="1" t="str">
        <f t="shared" si="0"/>
        <v/>
      </c>
      <c r="K25" s="3" t="str">
        <f t="shared" si="1"/>
        <v/>
      </c>
    </row>
    <row r="26" spans="1:11" x14ac:dyDescent="0.2">
      <c r="A26" s="9"/>
      <c r="B26" s="9"/>
      <c r="H26" s="3"/>
      <c r="I26" s="3"/>
      <c r="J26" s="1" t="str">
        <f t="shared" si="0"/>
        <v/>
      </c>
      <c r="K26" s="3" t="str">
        <f t="shared" si="1"/>
        <v/>
      </c>
    </row>
    <row r="27" spans="1:11" x14ac:dyDescent="0.2">
      <c r="A27" s="9"/>
      <c r="B27" s="9"/>
      <c r="H27" s="3"/>
      <c r="I27" s="3"/>
      <c r="J27" s="1" t="str">
        <f t="shared" si="0"/>
        <v/>
      </c>
      <c r="K27" s="3" t="str">
        <f t="shared" si="1"/>
        <v/>
      </c>
    </row>
    <row r="28" spans="1:11" x14ac:dyDescent="0.2">
      <c r="A28" s="9"/>
      <c r="B28" s="9"/>
      <c r="H28" s="3"/>
      <c r="I28" s="3"/>
      <c r="J28" s="1" t="str">
        <f t="shared" si="0"/>
        <v/>
      </c>
      <c r="K28" s="3" t="str">
        <f t="shared" si="1"/>
        <v/>
      </c>
    </row>
    <row r="29" spans="1:11" x14ac:dyDescent="0.2">
      <c r="A29" s="9"/>
      <c r="B29" s="9"/>
      <c r="H29" s="3"/>
      <c r="I29" s="3"/>
      <c r="J29" s="1" t="str">
        <f t="shared" si="0"/>
        <v/>
      </c>
      <c r="K29" s="3" t="str">
        <f t="shared" si="1"/>
        <v/>
      </c>
    </row>
    <row r="30" spans="1:11" x14ac:dyDescent="0.2">
      <c r="A30" s="9"/>
      <c r="B30" s="9"/>
      <c r="H30" s="3"/>
      <c r="I30" s="3"/>
      <c r="J30" s="1" t="str">
        <f t="shared" si="0"/>
        <v/>
      </c>
      <c r="K30" s="3" t="str">
        <f t="shared" si="1"/>
        <v/>
      </c>
    </row>
    <row r="31" spans="1:11" x14ac:dyDescent="0.2">
      <c r="A31" s="9"/>
      <c r="B31" s="9"/>
      <c r="H31" s="3"/>
      <c r="I31" s="3"/>
      <c r="J31" s="1" t="str">
        <f t="shared" si="0"/>
        <v/>
      </c>
      <c r="K31" s="3" t="str">
        <f t="shared" si="1"/>
        <v/>
      </c>
    </row>
    <row r="32" spans="1:11" x14ac:dyDescent="0.2">
      <c r="A32" s="9"/>
      <c r="B32" s="9"/>
      <c r="H32" s="3"/>
      <c r="I32" s="3"/>
      <c r="J32" s="1" t="str">
        <f t="shared" si="0"/>
        <v/>
      </c>
      <c r="K32" s="3" t="str">
        <f t="shared" si="1"/>
        <v/>
      </c>
    </row>
    <row r="33" spans="1:11" x14ac:dyDescent="0.2">
      <c r="A33" s="9"/>
      <c r="B33" s="9"/>
      <c r="H33" s="3"/>
      <c r="I33" s="3"/>
      <c r="J33" s="1" t="str">
        <f t="shared" si="0"/>
        <v/>
      </c>
      <c r="K33" s="3" t="str">
        <f t="shared" si="1"/>
        <v/>
      </c>
    </row>
    <row r="34" spans="1:11" x14ac:dyDescent="0.2">
      <c r="A34" s="10"/>
      <c r="B34" s="10"/>
      <c r="C34" s="5"/>
      <c r="D34" s="5"/>
      <c r="E34" s="5"/>
      <c r="F34" s="5"/>
      <c r="G34" s="5"/>
      <c r="H34" s="4"/>
      <c r="I34" s="4"/>
      <c r="J34" s="1" t="str">
        <f t="shared" si="0"/>
        <v/>
      </c>
      <c r="K34" s="3" t="str">
        <f t="shared" si="1"/>
        <v/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Heim</dc:creator>
  <cp:lastModifiedBy>Thibaut Heim</cp:lastModifiedBy>
  <dcterms:created xsi:type="dcterms:W3CDTF">2026-02-23T12:25:55Z</dcterms:created>
  <dcterms:modified xsi:type="dcterms:W3CDTF">2026-03-01T13:55:42Z</dcterms:modified>
</cp:coreProperties>
</file>